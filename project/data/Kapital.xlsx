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5%-Perzentile" sheetId="1" r:id="rId5"/>
    <sheet state="visible" name="Haupttabelle" sheetId="2" r:id="rId6"/>
    <sheet state="visible" name="Kapitalertrag" sheetId="3" r:id="rId7"/>
    <sheet state="visible" name="Geldvermögen" sheetId="4" r:id="rId8"/>
  </sheets>
  <definedNames/>
  <calcPr/>
</workbook>
</file>

<file path=xl/sharedStrings.xml><?xml version="1.0" encoding="utf-8"?>
<sst xmlns="http://schemas.openxmlformats.org/spreadsheetml/2006/main" count="79" uniqueCount="66">
  <si>
    <t>Arbeitseinkommen aus unselbständiger Beschäftigung</t>
  </si>
  <si>
    <t>Zuflüsse aus Einzelunt. + Personengesell. und Mieteinnahmen</t>
  </si>
  <si>
    <t>Aktiengewinne / Dividenden / Zinserträge</t>
  </si>
  <si>
    <t>Erbschaften und Schenkungen</t>
  </si>
  <si>
    <t>Arbeitslosengeld, Kindergeld, Wohngeld... (ohne Renten da umlagefinanziert)</t>
  </si>
  <si>
    <t>Gruppe</t>
  </si>
  <si>
    <t>Zufluss Ges.</t>
  </si>
  <si>
    <t>Lohn / Gehalt</t>
  </si>
  <si>
    <t>Gewerbe / V&amp;V</t>
  </si>
  <si>
    <t>Kap-Ertrag</t>
  </si>
  <si>
    <t>Erbschaften</t>
  </si>
  <si>
    <t>Transfers</t>
  </si>
  <si>
    <t>Abgaben Ges.</t>
  </si>
  <si>
    <t>Umsatzsteuer</t>
  </si>
  <si>
    <t>Einkommenssteuer</t>
  </si>
  <si>
    <t>Sozialabg. (KV +PV)</t>
  </si>
  <si>
    <t>Kapitalertrag+Soli</t>
  </si>
  <si>
    <t>Erbschaftssteuer</t>
  </si>
  <si>
    <t>Sonstiges</t>
  </si>
  <si>
    <t>0–5%</t>
  </si>
  <si>
    <t>5–10%</t>
  </si>
  <si>
    <t>10–15%</t>
  </si>
  <si>
    <t>15–20%</t>
  </si>
  <si>
    <t>20–25%</t>
  </si>
  <si>
    <t>25–30%</t>
  </si>
  <si>
    <t>30–35%</t>
  </si>
  <si>
    <t>35–40%</t>
  </si>
  <si>
    <t>40–45%</t>
  </si>
  <si>
    <t>45–50%</t>
  </si>
  <si>
    <t>50–55%</t>
  </si>
  <si>
    <t>55–60%</t>
  </si>
  <si>
    <t>60–65%</t>
  </si>
  <si>
    <t>65–70%</t>
  </si>
  <si>
    <t>70–75%</t>
  </si>
  <si>
    <t>75–80%</t>
  </si>
  <si>
    <t>80–85%</t>
  </si>
  <si>
    <t>85–90%</t>
  </si>
  <si>
    <t>90–95%</t>
  </si>
  <si>
    <t>95–100%</t>
  </si>
  <si>
    <t>Gesamt</t>
  </si>
  <si>
    <t>Tool-Parameter je Steuerart:</t>
  </si>
  <si>
    <t>o Steuerhöhe/-anteil</t>
  </si>
  <si>
    <t>o Freibetrag</t>
  </si>
  <si>
    <t>o Progressionsfaktor</t>
  </si>
  <si>
    <t>MwSt</t>
  </si>
  <si>
    <t>ESt</t>
  </si>
  <si>
    <t>KV / PV</t>
  </si>
  <si>
    <t>Kap-St</t>
  </si>
  <si>
    <t>Erbe-St</t>
  </si>
  <si>
    <t>Sonst.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</si>
  <si>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</si>
  <si>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</si>
  <si>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</si>
  <si>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</si>
  <si>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</si>
  <si>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</si>
  <si>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</si>
  <si>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</si>
  <si>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</si>
  <si>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91–99 %</t>
  </si>
  <si>
    <t>Top 1 %</t>
  </si>
  <si>
    <t>Aufteilung Geldvermögen</t>
  </si>
  <si>
    <t>https://www.bundesbank.de/de/presse/pressenotizen/geldvermoegensbildung-und-aussenfinanzierung-in-deutschland-im-vierten-quartal-2023-914174?utm_source=chatgpt.com</t>
  </si>
  <si>
    <t>4.000 Mrd * 0,03</t>
  </si>
  <si>
    <t>=120 Mrd *0,25 =</t>
  </si>
  <si>
    <t>30 Mrd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</si>
</sst>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color theme="1"/>
      <name val="Arial"/>
      <scheme val="minor"/>
    </font>
    <font>
      <i/>
      <sz val="9.0"/>
      <color theme="1"/>
      <name val="Arial"/>
      <scheme val="minor"/>
    </font>
    <font>
      <b/>
      <color rgb="FF1F1F1F"/>
      <name val="&quot;Google Sans Text&quot;"/>
    </font>
    <font>
      <color rgb="FF1F1F1F"/>
      <name val="&quot;Google Sans Text&quot;"/>
    </font>
    <font>
      <i/>
      <color rgb="FF1F1F1F"/>
      <name val="&quot;Google Sans Text&quot;"/>
    </font>
    <font>
      <u/>
      <color rgb="FF0000FF"/>
    </font>
  </fonts>
  <fills count="7">
    <fill>
      <patternFill patternType="none"/>
    </fill>
    <fill>
      <patternFill patternType="lightGray"/>
    </fill>
    <fill>
      <patternFill patternType="solid">
        <fgColor rgb="FFB7B7B7"/>
        <bgColor rgb="FFB7B7B7"/>
      </patternFill>
    </fill>
    <fill>
      <patternFill patternType="solid">
        <fgColor rgb="FFB6D7A8"/>
        <bgColor rgb="FFB6D7A8"/>
      </patternFill>
    </fill>
    <fill>
      <patternFill patternType="solid">
        <fgColor rgb="FFD9EAD3"/>
        <bgColor rgb="FFD9EAD3"/>
      </patternFill>
    </fill>
    <fill>
      <patternFill patternType="solid">
        <fgColor rgb="FFEA9999"/>
        <bgColor rgb="FFEA9999"/>
      </patternFill>
    </fill>
    <fill>
      <patternFill patternType="solid">
        <fgColor rgb="FFFCE5CD"/>
        <bgColor rgb="FFFCE5CD"/>
      </patternFill>
    </fill>
  </fills>
  <borders count="1">
    <border/>
  </borders>
  <cellStyleXfs count="1">
    <xf borderId="0" fillId="0" fontId="0" numFmtId="0" applyAlignment="1" applyFont="1"/>
  </cellStyleXfs>
  <cellXfs count="2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horizontal="center"/>
    </xf>
    <xf borderId="0" fillId="0" fontId="1" numFmtId="0" xfId="0" applyAlignment="1" applyFont="1">
      <alignment shrinkToFit="0" wrapText="1"/>
    </xf>
    <xf borderId="0" fillId="0" fontId="2" numFmtId="0" xfId="0" applyAlignment="1" applyFont="1">
      <alignment readingOrder="0" shrinkToFit="0" wrapText="1"/>
    </xf>
    <xf borderId="0" fillId="0" fontId="2" numFmtId="0" xfId="0" applyAlignment="1" applyFont="1">
      <alignment shrinkToFit="0" wrapText="1"/>
    </xf>
    <xf borderId="0" fillId="2" fontId="3" numFmtId="0" xfId="0" applyAlignment="1" applyFill="1" applyFont="1">
      <alignment readingOrder="0"/>
    </xf>
    <xf borderId="0" fillId="0" fontId="4" numFmtId="0" xfId="0" applyAlignment="1" applyFont="1">
      <alignment readingOrder="0"/>
    </xf>
    <xf borderId="0" fillId="0" fontId="3" numFmtId="0" xfId="0" applyAlignment="1" applyFont="1">
      <alignment readingOrder="0"/>
    </xf>
    <xf borderId="0" fillId="3" fontId="3" numFmtId="0" xfId="0" applyAlignment="1" applyFill="1" applyFont="1">
      <alignment readingOrder="0"/>
    </xf>
    <xf borderId="0" fillId="4" fontId="4" numFmtId="0" xfId="0" applyAlignment="1" applyFill="1" applyFont="1">
      <alignment readingOrder="0"/>
    </xf>
    <xf borderId="0" fillId="5" fontId="3" numFmtId="0" xfId="0" applyAlignment="1" applyFill="1" applyFont="1">
      <alignment readingOrder="0"/>
    </xf>
    <xf borderId="0" fillId="6" fontId="4" numFmtId="0" xfId="0" applyAlignment="1" applyFill="1" applyFont="1">
      <alignment readingOrder="0"/>
    </xf>
    <xf borderId="0" fillId="3" fontId="3" numFmtId="4" xfId="0" applyAlignment="1" applyFont="1" applyNumberFormat="1">
      <alignment readingOrder="0"/>
    </xf>
    <xf borderId="0" fillId="4" fontId="3" numFmtId="4" xfId="0" applyAlignment="1" applyFont="1" applyNumberFormat="1">
      <alignment readingOrder="0"/>
    </xf>
    <xf borderId="0" fillId="6" fontId="3" numFmtId="0" xfId="0" applyAlignment="1" applyFont="1">
      <alignment readingOrder="0"/>
    </xf>
    <xf borderId="0" fillId="0" fontId="4" numFmtId="0" xfId="0" applyFont="1"/>
    <xf borderId="0" fillId="0" fontId="3" numFmtId="0" xfId="0" applyFont="1"/>
    <xf borderId="0" fillId="0" fontId="4" numFmtId="4" xfId="0" applyAlignment="1" applyFont="1" applyNumberFormat="1">
      <alignment readingOrder="0"/>
    </xf>
    <xf borderId="0" fillId="0" fontId="5" numFmtId="0" xfId="0" applyAlignment="1" applyFont="1">
      <alignment readingOrder="0"/>
    </xf>
    <xf borderId="0" fillId="0" fontId="3" numFmtId="4" xfId="0" applyAlignment="1" applyFont="1" applyNumberFormat="1">
      <alignment readingOrder="0"/>
    </xf>
    <xf borderId="0" fillId="4" fontId="4" numFmtId="4" xfId="0" applyAlignment="1" applyFont="1" applyNumberFormat="1">
      <alignment readingOrder="0"/>
    </xf>
    <xf borderId="0" fillId="4" fontId="3" numFmtId="0" xfId="0" applyAlignment="1" applyFont="1">
      <alignment readingOrder="0"/>
    </xf>
    <xf borderId="0" fillId="0" fontId="1" numFmtId="0" xfId="0" applyAlignment="1" applyFont="1">
      <alignment readingOrder="0"/>
    </xf>
    <xf borderId="0" fillId="0" fontId="6" numFmtId="0" xfId="0" applyAlignment="1" applyFont="1">
      <alignment readingOrder="0"/>
    </xf>
    <xf quotePrefix="1"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Relationship Id="rId3" Type="http://schemas.openxmlformats.org/officeDocument/2006/relationships/image" Target="../media/image4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28575</xdr:colOff>
      <xdr:row>1</xdr:row>
      <xdr:rowOff>47625</xdr:rowOff>
    </xdr:from>
    <xdr:ext cx="3609975" cy="2228850"/>
    <xdr:pic>
      <xdr:nvPicPr>
        <xdr:cNvPr id="0" name="image2.png" title="Bild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85725</xdr:colOff>
      <xdr:row>1</xdr:row>
      <xdr:rowOff>152400</xdr:rowOff>
    </xdr:from>
    <xdr:ext cx="4286250" cy="2028825"/>
    <xdr:pic>
      <xdr:nvPicPr>
        <xdr:cNvPr id="0" name="image3.png" title="Bild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647700</xdr:colOff>
      <xdr:row>1</xdr:row>
      <xdr:rowOff>152400</xdr:rowOff>
    </xdr:from>
    <xdr:ext cx="3429000" cy="2447925"/>
    <xdr:pic>
      <xdr:nvPicPr>
        <xdr:cNvPr id="0" name="image4.png" title="Bild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923925</xdr:colOff>
      <xdr:row>5</xdr:row>
      <xdr:rowOff>190500</xdr:rowOff>
    </xdr:from>
    <xdr:ext cx="3562350" cy="1952625"/>
    <xdr:pic>
      <xdr:nvPicPr>
        <xdr:cNvPr id="0" name="image1.png" title="Bild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www.bundesbank.de/de/presse/pressenotizen/geldvermoegensbildung-und-aussenfinanzierung-in-deutschland-im-vierten-quartal-2023-914174?utm_source=chatgpt.com" TargetMode="External"/><Relationship Id="rId2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.88"/>
    <col customWidth="1" min="2" max="2" width="19.38"/>
    <col customWidth="1" min="3" max="15" width="17.63"/>
  </cols>
  <sheetData>
    <row r="2">
      <c r="D2" s="1">
        <v>1.0</v>
      </c>
      <c r="E2" s="1">
        <v>1.0</v>
      </c>
      <c r="F2" s="1">
        <v>2.0</v>
      </c>
      <c r="G2" s="1">
        <v>3.0</v>
      </c>
      <c r="H2" s="2"/>
      <c r="I2" s="2"/>
      <c r="J2" s="2"/>
      <c r="K2" s="1">
        <v>1.0</v>
      </c>
      <c r="L2" s="1">
        <v>1.0</v>
      </c>
      <c r="M2" s="1">
        <v>2.0</v>
      </c>
      <c r="N2" s="1">
        <v>3.0</v>
      </c>
      <c r="O2" s="2"/>
    </row>
    <row r="3" ht="54.75" customHeight="1">
      <c r="B3" s="3"/>
      <c r="C3" s="3"/>
      <c r="D3" s="4" t="s">
        <v>0</v>
      </c>
      <c r="E3" s="4" t="s">
        <v>1</v>
      </c>
      <c r="F3" s="4" t="s">
        <v>2</v>
      </c>
      <c r="G3" s="4" t="s">
        <v>3</v>
      </c>
      <c r="H3" s="4" t="s">
        <v>4</v>
      </c>
      <c r="I3" s="5"/>
      <c r="J3" s="5"/>
      <c r="K3" s="5"/>
      <c r="L3" s="5"/>
      <c r="M3" s="5"/>
      <c r="N3" s="5"/>
      <c r="O3" s="5"/>
    </row>
    <row r="4">
      <c r="B4" s="6" t="s">
        <v>5</v>
      </c>
      <c r="C4" s="6" t="s">
        <v>6</v>
      </c>
      <c r="D4" s="6" t="s">
        <v>7</v>
      </c>
      <c r="E4" s="6" t="s">
        <v>8</v>
      </c>
      <c r="F4" s="6" t="s">
        <v>9</v>
      </c>
      <c r="G4" s="6" t="s">
        <v>10</v>
      </c>
      <c r="H4" s="6" t="s">
        <v>11</v>
      </c>
      <c r="I4" s="6" t="s">
        <v>12</v>
      </c>
      <c r="J4" s="6" t="s">
        <v>13</v>
      </c>
      <c r="K4" s="6" t="s">
        <v>14</v>
      </c>
      <c r="L4" s="6" t="s">
        <v>15</v>
      </c>
      <c r="M4" s="6" t="s">
        <v>16</v>
      </c>
      <c r="N4" s="6" t="s">
        <v>17</v>
      </c>
      <c r="O4" s="6" t="s">
        <v>18</v>
      </c>
    </row>
    <row r="5">
      <c r="A5" s="7"/>
      <c r="B5" s="8" t="s">
        <v>19</v>
      </c>
      <c r="C5" s="9">
        <f t="shared" ref="C5:C25" si="1">SUM(D5:H5)</f>
        <v>34.57</v>
      </c>
      <c r="D5" s="10">
        <v>1.88</v>
      </c>
      <c r="E5" s="10">
        <v>0.19</v>
      </c>
      <c r="F5" s="10">
        <v>0.07</v>
      </c>
      <c r="G5" s="10">
        <v>0.05</v>
      </c>
      <c r="H5" s="10">
        <v>32.38</v>
      </c>
      <c r="I5" s="11">
        <f t="shared" ref="I5:I25" si="2">SUM(J5:O5)</f>
        <v>9.31</v>
      </c>
      <c r="J5" s="12">
        <v>5.76</v>
      </c>
      <c r="K5" s="12">
        <v>0.0</v>
      </c>
      <c r="L5" s="12">
        <v>1.5</v>
      </c>
      <c r="M5" s="12">
        <v>0.0</v>
      </c>
      <c r="N5" s="12">
        <v>0.0</v>
      </c>
      <c r="O5" s="12">
        <v>2.05</v>
      </c>
    </row>
    <row r="6">
      <c r="A6" s="7"/>
      <c r="B6" s="8" t="s">
        <v>20</v>
      </c>
      <c r="C6" s="9">
        <f t="shared" si="1"/>
        <v>36.165</v>
      </c>
      <c r="D6" s="10">
        <v>7.52</v>
      </c>
      <c r="E6" s="10">
        <v>0.38</v>
      </c>
      <c r="F6" s="10">
        <v>0.14</v>
      </c>
      <c r="G6" s="10">
        <v>0.125</v>
      </c>
      <c r="H6" s="10">
        <v>28.0</v>
      </c>
      <c r="I6" s="11">
        <f t="shared" si="2"/>
        <v>14.1</v>
      </c>
      <c r="J6" s="12">
        <v>7.04</v>
      </c>
      <c r="K6" s="12">
        <v>0.0</v>
      </c>
      <c r="L6" s="12">
        <v>4.5</v>
      </c>
      <c r="M6" s="12">
        <v>0.0</v>
      </c>
      <c r="N6" s="12">
        <v>0.0</v>
      </c>
      <c r="O6" s="12">
        <v>2.56</v>
      </c>
    </row>
    <row r="7">
      <c r="A7" s="7"/>
      <c r="B7" s="8" t="s">
        <v>21</v>
      </c>
      <c r="C7" s="9">
        <f t="shared" si="1"/>
        <v>41.71</v>
      </c>
      <c r="D7" s="10">
        <v>18.8</v>
      </c>
      <c r="E7" s="10">
        <v>0.57</v>
      </c>
      <c r="F7" s="10">
        <v>0.21</v>
      </c>
      <c r="G7" s="10">
        <v>0.25</v>
      </c>
      <c r="H7" s="10">
        <v>21.88</v>
      </c>
      <c r="I7" s="11">
        <f t="shared" si="2"/>
        <v>20.39</v>
      </c>
      <c r="J7" s="12">
        <v>8.32</v>
      </c>
      <c r="K7" s="12">
        <v>0.0</v>
      </c>
      <c r="L7" s="12">
        <v>9.0</v>
      </c>
      <c r="M7" s="12">
        <v>0.0</v>
      </c>
      <c r="N7" s="12">
        <v>0.0</v>
      </c>
      <c r="O7" s="12">
        <v>3.07</v>
      </c>
    </row>
    <row r="8">
      <c r="A8" s="7"/>
      <c r="B8" s="8" t="s">
        <v>22</v>
      </c>
      <c r="C8" s="9">
        <f t="shared" si="1"/>
        <v>51.885</v>
      </c>
      <c r="D8" s="10">
        <v>33.84</v>
      </c>
      <c r="E8" s="10">
        <v>0.76</v>
      </c>
      <c r="F8" s="10">
        <v>0.28</v>
      </c>
      <c r="G8" s="10">
        <v>0.375</v>
      </c>
      <c r="H8" s="10">
        <v>16.63</v>
      </c>
      <c r="I8" s="11">
        <f t="shared" si="2"/>
        <v>27.35</v>
      </c>
      <c r="J8" s="12">
        <v>9.28</v>
      </c>
      <c r="K8" s="12">
        <v>0.36</v>
      </c>
      <c r="L8" s="12">
        <v>14.25</v>
      </c>
      <c r="M8" s="12">
        <v>0.0</v>
      </c>
      <c r="N8" s="12">
        <v>0.0</v>
      </c>
      <c r="O8" s="12">
        <v>3.46</v>
      </c>
    </row>
    <row r="9">
      <c r="A9" s="7"/>
      <c r="B9" s="8" t="s">
        <v>23</v>
      </c>
      <c r="C9" s="9">
        <f t="shared" si="1"/>
        <v>62.055</v>
      </c>
      <c r="D9" s="10">
        <v>47.0</v>
      </c>
      <c r="E9" s="10">
        <v>0.95</v>
      </c>
      <c r="F9" s="10">
        <v>0.35</v>
      </c>
      <c r="G9" s="10">
        <v>0.625</v>
      </c>
      <c r="H9" s="10">
        <v>13.13</v>
      </c>
      <c r="I9" s="11">
        <f t="shared" si="2"/>
        <v>33.58</v>
      </c>
      <c r="J9" s="12">
        <v>9.92</v>
      </c>
      <c r="K9" s="12">
        <v>1.07</v>
      </c>
      <c r="L9" s="12">
        <v>18.75</v>
      </c>
      <c r="M9" s="12">
        <v>0.0</v>
      </c>
      <c r="N9" s="12">
        <v>0.0</v>
      </c>
      <c r="O9" s="12">
        <v>3.84</v>
      </c>
    </row>
    <row r="10">
      <c r="A10" s="7"/>
      <c r="B10" s="8" t="s">
        <v>24</v>
      </c>
      <c r="C10" s="9">
        <f t="shared" si="1"/>
        <v>73.48</v>
      </c>
      <c r="D10" s="10">
        <v>60.16</v>
      </c>
      <c r="E10" s="10">
        <v>1.33</v>
      </c>
      <c r="F10" s="10">
        <v>0.49</v>
      </c>
      <c r="G10" s="10">
        <v>1.0</v>
      </c>
      <c r="H10" s="10">
        <v>10.5</v>
      </c>
      <c r="I10" s="11">
        <f t="shared" si="2"/>
        <v>39.7</v>
      </c>
      <c r="J10" s="12">
        <v>10.56</v>
      </c>
      <c r="K10" s="12">
        <v>1.79</v>
      </c>
      <c r="L10" s="12">
        <v>23.25</v>
      </c>
      <c r="M10" s="12">
        <v>0.0</v>
      </c>
      <c r="N10" s="12">
        <v>0.0</v>
      </c>
      <c r="O10" s="12">
        <v>4.1</v>
      </c>
    </row>
    <row r="11">
      <c r="A11" s="7"/>
      <c r="B11" s="8" t="s">
        <v>25</v>
      </c>
      <c r="C11" s="9">
        <f t="shared" si="1"/>
        <v>84.45</v>
      </c>
      <c r="D11" s="10">
        <v>71.44</v>
      </c>
      <c r="E11" s="10">
        <v>1.71</v>
      </c>
      <c r="F11" s="10">
        <v>0.7</v>
      </c>
      <c r="G11" s="10">
        <v>1.5</v>
      </c>
      <c r="H11" s="10">
        <v>9.1</v>
      </c>
      <c r="I11" s="11">
        <f t="shared" si="2"/>
        <v>45.5</v>
      </c>
      <c r="J11" s="12">
        <v>11.52</v>
      </c>
      <c r="K11" s="12">
        <v>2.5</v>
      </c>
      <c r="L11" s="12">
        <v>27.0</v>
      </c>
      <c r="M11" s="12">
        <v>0.0</v>
      </c>
      <c r="N11" s="12">
        <v>0.0</v>
      </c>
      <c r="O11" s="12">
        <v>4.48</v>
      </c>
    </row>
    <row r="12">
      <c r="A12" s="7"/>
      <c r="B12" s="8" t="s">
        <v>26</v>
      </c>
      <c r="C12" s="9">
        <f t="shared" si="1"/>
        <v>95.445</v>
      </c>
      <c r="D12" s="10">
        <v>82.72</v>
      </c>
      <c r="E12" s="10">
        <v>2.09</v>
      </c>
      <c r="F12" s="10">
        <v>0.98</v>
      </c>
      <c r="G12" s="10">
        <v>2.125</v>
      </c>
      <c r="H12" s="10">
        <v>7.53</v>
      </c>
      <c r="I12" s="11">
        <f t="shared" si="2"/>
        <v>51.66</v>
      </c>
      <c r="J12" s="12">
        <v>12.48</v>
      </c>
      <c r="K12" s="12">
        <v>3.57</v>
      </c>
      <c r="L12" s="12">
        <v>30.75</v>
      </c>
      <c r="M12" s="12">
        <v>0.0</v>
      </c>
      <c r="N12" s="12">
        <v>0.0</v>
      </c>
      <c r="O12" s="12">
        <v>4.86</v>
      </c>
    </row>
    <row r="13">
      <c r="A13" s="7"/>
      <c r="B13" s="8" t="s">
        <v>27</v>
      </c>
      <c r="C13" s="9">
        <f t="shared" si="1"/>
        <v>105.34</v>
      </c>
      <c r="D13" s="10">
        <v>92.12</v>
      </c>
      <c r="E13" s="10">
        <v>2.66</v>
      </c>
      <c r="F13" s="10">
        <v>1.26</v>
      </c>
      <c r="G13" s="10">
        <v>3.0</v>
      </c>
      <c r="H13" s="10">
        <v>6.3</v>
      </c>
      <c r="I13" s="11">
        <f t="shared" si="2"/>
        <v>58.33</v>
      </c>
      <c r="J13" s="12">
        <v>13.12</v>
      </c>
      <c r="K13" s="12">
        <v>5.36</v>
      </c>
      <c r="L13" s="12">
        <v>34.5</v>
      </c>
      <c r="M13" s="12">
        <v>0.1</v>
      </c>
      <c r="N13" s="12">
        <v>0.0</v>
      </c>
      <c r="O13" s="12">
        <v>5.25</v>
      </c>
    </row>
    <row r="14">
      <c r="A14" s="7"/>
      <c r="B14" s="8" t="s">
        <v>28</v>
      </c>
      <c r="C14" s="9">
        <f t="shared" si="1"/>
        <v>115.99</v>
      </c>
      <c r="D14" s="10">
        <v>101.52</v>
      </c>
      <c r="E14" s="10">
        <v>3.23</v>
      </c>
      <c r="F14" s="10">
        <v>1.61</v>
      </c>
      <c r="G14" s="10">
        <v>4.2</v>
      </c>
      <c r="H14" s="10">
        <v>5.43</v>
      </c>
      <c r="I14" s="11">
        <f t="shared" si="2"/>
        <v>65.91</v>
      </c>
      <c r="J14" s="12">
        <v>14.08</v>
      </c>
      <c r="K14" s="12">
        <v>7.85</v>
      </c>
      <c r="L14" s="12">
        <v>38.25</v>
      </c>
      <c r="M14" s="12">
        <v>0.1</v>
      </c>
      <c r="N14" s="12">
        <v>0.0</v>
      </c>
      <c r="O14" s="12">
        <v>5.63</v>
      </c>
    </row>
    <row r="15">
      <c r="A15" s="7"/>
      <c r="B15" s="8" t="s">
        <v>29</v>
      </c>
      <c r="C15" s="9">
        <f t="shared" si="1"/>
        <v>124.55</v>
      </c>
      <c r="D15" s="10">
        <v>109.04</v>
      </c>
      <c r="E15" s="10">
        <v>4.18</v>
      </c>
      <c r="F15" s="10">
        <v>2.1</v>
      </c>
      <c r="G15" s="10">
        <v>4.500000000000001</v>
      </c>
      <c r="H15" s="10">
        <v>4.73</v>
      </c>
      <c r="I15" s="11">
        <f t="shared" si="2"/>
        <v>74.33</v>
      </c>
      <c r="J15" s="12">
        <v>15.04</v>
      </c>
      <c r="K15" s="12">
        <v>11.07</v>
      </c>
      <c r="L15" s="12">
        <v>42.0</v>
      </c>
      <c r="M15" s="12">
        <v>0.2</v>
      </c>
      <c r="N15" s="12">
        <v>0.0</v>
      </c>
      <c r="O15" s="12">
        <v>6.02</v>
      </c>
    </row>
    <row r="16">
      <c r="A16" s="7"/>
      <c r="B16" s="8" t="s">
        <v>30</v>
      </c>
      <c r="C16" s="9">
        <f t="shared" si="1"/>
        <v>135.1</v>
      </c>
      <c r="D16" s="10">
        <v>116.56</v>
      </c>
      <c r="E16" s="10">
        <v>5.32</v>
      </c>
      <c r="F16" s="10">
        <v>2.94</v>
      </c>
      <c r="G16" s="10">
        <v>6.25</v>
      </c>
      <c r="H16" s="10">
        <v>4.03</v>
      </c>
      <c r="I16" s="11">
        <f t="shared" si="2"/>
        <v>83.03</v>
      </c>
      <c r="J16" s="12">
        <v>16.32</v>
      </c>
      <c r="K16" s="12">
        <v>14.99</v>
      </c>
      <c r="L16" s="12">
        <v>45.0</v>
      </c>
      <c r="M16" s="12">
        <v>0.32</v>
      </c>
      <c r="N16" s="12">
        <v>0.0</v>
      </c>
      <c r="O16" s="12">
        <v>6.4</v>
      </c>
    </row>
    <row r="17">
      <c r="A17" s="7"/>
      <c r="B17" s="8" t="s">
        <v>31</v>
      </c>
      <c r="C17" s="9">
        <f t="shared" si="1"/>
        <v>146.86</v>
      </c>
      <c r="D17" s="10">
        <v>124.08</v>
      </c>
      <c r="E17" s="10">
        <v>7.22</v>
      </c>
      <c r="F17" s="10">
        <v>4.06</v>
      </c>
      <c r="G17" s="10">
        <v>8.0</v>
      </c>
      <c r="H17" s="10">
        <v>3.5</v>
      </c>
      <c r="I17" s="11">
        <f t="shared" si="2"/>
        <v>91.75</v>
      </c>
      <c r="J17" s="12">
        <v>17.6</v>
      </c>
      <c r="K17" s="12">
        <v>19.64</v>
      </c>
      <c r="L17" s="12">
        <v>47.25</v>
      </c>
      <c r="M17" s="12">
        <v>0.48</v>
      </c>
      <c r="N17" s="12">
        <v>0.0</v>
      </c>
      <c r="O17" s="12">
        <v>6.78</v>
      </c>
    </row>
    <row r="18">
      <c r="A18" s="7"/>
      <c r="B18" s="8" t="s">
        <v>32</v>
      </c>
      <c r="C18" s="9">
        <f t="shared" si="1"/>
        <v>161.8</v>
      </c>
      <c r="D18" s="10">
        <v>133.48</v>
      </c>
      <c r="E18" s="10">
        <v>9.88</v>
      </c>
      <c r="F18" s="10">
        <v>5.46</v>
      </c>
      <c r="G18" s="10">
        <v>10.0</v>
      </c>
      <c r="H18" s="10">
        <v>2.98</v>
      </c>
      <c r="I18" s="11">
        <f t="shared" si="2"/>
        <v>101.26</v>
      </c>
      <c r="J18" s="12">
        <v>18.88</v>
      </c>
      <c r="K18" s="12">
        <v>24.99</v>
      </c>
      <c r="L18" s="12">
        <v>49.5</v>
      </c>
      <c r="M18" s="12">
        <v>0.72</v>
      </c>
      <c r="N18" s="12">
        <v>0.0</v>
      </c>
      <c r="O18" s="12">
        <v>7.17</v>
      </c>
    </row>
    <row r="19">
      <c r="A19" s="7"/>
      <c r="B19" s="8" t="s">
        <v>33</v>
      </c>
      <c r="C19" s="9">
        <f t="shared" si="1"/>
        <v>178.93</v>
      </c>
      <c r="D19" s="10">
        <v>142.88</v>
      </c>
      <c r="E19" s="10">
        <v>13.68</v>
      </c>
      <c r="F19" s="10">
        <v>7.42</v>
      </c>
      <c r="G19" s="10">
        <v>12.5</v>
      </c>
      <c r="H19" s="10">
        <v>2.45</v>
      </c>
      <c r="I19" s="11">
        <f t="shared" si="2"/>
        <v>111.71</v>
      </c>
      <c r="J19" s="12">
        <v>20.8</v>
      </c>
      <c r="K19" s="12">
        <v>30.35</v>
      </c>
      <c r="L19" s="12">
        <v>51.75</v>
      </c>
      <c r="M19" s="12">
        <v>1.0</v>
      </c>
      <c r="N19" s="12">
        <v>0.0</v>
      </c>
      <c r="O19" s="12">
        <v>7.81</v>
      </c>
    </row>
    <row r="20">
      <c r="A20" s="7"/>
      <c r="B20" s="8" t="s">
        <v>34</v>
      </c>
      <c r="C20" s="9">
        <f t="shared" si="1"/>
        <v>198.61</v>
      </c>
      <c r="D20" s="10">
        <v>154.16</v>
      </c>
      <c r="E20" s="10">
        <v>16.72</v>
      </c>
      <c r="F20" s="10">
        <v>9.38</v>
      </c>
      <c r="G20" s="10">
        <v>16.25</v>
      </c>
      <c r="H20" s="10">
        <v>2.1</v>
      </c>
      <c r="I20" s="11">
        <f t="shared" si="2"/>
        <v>122.95</v>
      </c>
      <c r="J20" s="12">
        <v>22.72</v>
      </c>
      <c r="K20" s="12">
        <v>37.13</v>
      </c>
      <c r="L20" s="12">
        <v>53.25</v>
      </c>
      <c r="M20" s="12">
        <v>1.4</v>
      </c>
      <c r="N20" s="12">
        <v>0.0</v>
      </c>
      <c r="O20" s="12">
        <v>8.45</v>
      </c>
    </row>
    <row r="21">
      <c r="A21" s="7"/>
      <c r="B21" s="8" t="s">
        <v>35</v>
      </c>
      <c r="C21" s="9">
        <f t="shared" si="1"/>
        <v>224.62</v>
      </c>
      <c r="D21" s="10">
        <v>165.44</v>
      </c>
      <c r="E21" s="10">
        <v>24.7</v>
      </c>
      <c r="F21" s="10">
        <v>11.48</v>
      </c>
      <c r="G21" s="10">
        <v>21.25</v>
      </c>
      <c r="H21" s="10">
        <v>1.75</v>
      </c>
      <c r="I21" s="11">
        <f t="shared" si="2"/>
        <v>135.82</v>
      </c>
      <c r="J21" s="12">
        <v>24.96</v>
      </c>
      <c r="K21" s="12">
        <v>44.63</v>
      </c>
      <c r="L21" s="12">
        <v>54.75</v>
      </c>
      <c r="M21" s="12">
        <v>2.2</v>
      </c>
      <c r="N21" s="12">
        <v>0.06</v>
      </c>
      <c r="O21" s="12">
        <v>9.22</v>
      </c>
    </row>
    <row r="22">
      <c r="A22" s="7"/>
      <c r="B22" s="8" t="s">
        <v>36</v>
      </c>
      <c r="C22" s="9">
        <f t="shared" si="1"/>
        <v>261.35</v>
      </c>
      <c r="D22" s="10">
        <v>178.6</v>
      </c>
      <c r="E22" s="10">
        <v>36.1</v>
      </c>
      <c r="F22" s="10">
        <v>14.0</v>
      </c>
      <c r="G22" s="10">
        <v>31.25</v>
      </c>
      <c r="H22" s="10">
        <v>1.4</v>
      </c>
      <c r="I22" s="11">
        <f t="shared" si="2"/>
        <v>150.06</v>
      </c>
      <c r="J22" s="12">
        <v>27.2</v>
      </c>
      <c r="K22" s="12">
        <v>51.77</v>
      </c>
      <c r="L22" s="12">
        <v>57.0</v>
      </c>
      <c r="M22" s="12">
        <v>3.28</v>
      </c>
      <c r="N22" s="12">
        <v>0.19</v>
      </c>
      <c r="O22" s="12">
        <v>10.62</v>
      </c>
    </row>
    <row r="23">
      <c r="A23" s="7"/>
      <c r="B23" s="8" t="s">
        <v>37</v>
      </c>
      <c r="C23" s="9">
        <f t="shared" si="1"/>
        <v>327.04</v>
      </c>
      <c r="D23" s="10">
        <v>191.76</v>
      </c>
      <c r="E23" s="10">
        <v>68.4</v>
      </c>
      <c r="F23" s="10">
        <v>21.0</v>
      </c>
      <c r="G23" s="10">
        <v>45.0</v>
      </c>
      <c r="H23" s="10">
        <v>0.88</v>
      </c>
      <c r="I23" s="11">
        <f t="shared" si="2"/>
        <v>170.98</v>
      </c>
      <c r="J23" s="12">
        <v>30.4</v>
      </c>
      <c r="K23" s="12">
        <v>64.26</v>
      </c>
      <c r="L23" s="12">
        <v>56.25</v>
      </c>
      <c r="M23" s="12">
        <v>6.0</v>
      </c>
      <c r="N23" s="12">
        <v>0.63</v>
      </c>
      <c r="O23" s="12">
        <v>13.44</v>
      </c>
    </row>
    <row r="24">
      <c r="A24" s="7"/>
      <c r="B24" s="8" t="s">
        <v>38</v>
      </c>
      <c r="C24" s="9">
        <f t="shared" si="1"/>
        <v>626.22</v>
      </c>
      <c r="D24" s="10">
        <v>235.0</v>
      </c>
      <c r="E24" s="10">
        <v>180.12</v>
      </c>
      <c r="F24" s="10">
        <v>79.0</v>
      </c>
      <c r="G24" s="10">
        <v>131.75</v>
      </c>
      <c r="H24" s="10">
        <v>0.35</v>
      </c>
      <c r="I24" s="11">
        <f t="shared" si="2"/>
        <v>178.12</v>
      </c>
      <c r="J24" s="12">
        <v>33.6</v>
      </c>
      <c r="K24" s="12">
        <v>35.7</v>
      </c>
      <c r="L24" s="12">
        <v>54.0</v>
      </c>
      <c r="M24" s="12">
        <v>24.0</v>
      </c>
      <c r="N24" s="12">
        <v>11.62</v>
      </c>
      <c r="O24" s="12">
        <v>19.2</v>
      </c>
    </row>
    <row r="25">
      <c r="A25" s="7"/>
      <c r="B25" s="8" t="s">
        <v>39</v>
      </c>
      <c r="C25" s="13">
        <f t="shared" si="1"/>
        <v>3086.17</v>
      </c>
      <c r="D25" s="14">
        <f t="shared" ref="D25:H25" si="3">SUM(D5:D24)</f>
        <v>2068</v>
      </c>
      <c r="E25" s="14">
        <f t="shared" si="3"/>
        <v>380.19</v>
      </c>
      <c r="F25" s="14">
        <f t="shared" si="3"/>
        <v>162.93</v>
      </c>
      <c r="G25" s="14">
        <f t="shared" si="3"/>
        <v>300</v>
      </c>
      <c r="H25" s="14">
        <f t="shared" si="3"/>
        <v>175.05</v>
      </c>
      <c r="I25" s="11">
        <f t="shared" si="2"/>
        <v>1585.84</v>
      </c>
      <c r="J25" s="15">
        <f t="shared" ref="J25:O25" si="4">SUM(J5:J24)</f>
        <v>329.6</v>
      </c>
      <c r="K25" s="15">
        <f t="shared" si="4"/>
        <v>357.03</v>
      </c>
      <c r="L25" s="15">
        <f t="shared" si="4"/>
        <v>712.5</v>
      </c>
      <c r="M25" s="15">
        <f t="shared" si="4"/>
        <v>39.8</v>
      </c>
      <c r="N25" s="15">
        <f t="shared" si="4"/>
        <v>12.5</v>
      </c>
      <c r="O25" s="15">
        <f t="shared" si="4"/>
        <v>134.41</v>
      </c>
    </row>
    <row r="26">
      <c r="A26" s="8"/>
      <c r="B26" s="8"/>
      <c r="C26" s="8"/>
      <c r="D26" s="8"/>
      <c r="E26" s="8"/>
      <c r="H26" s="8"/>
      <c r="I26" s="8"/>
      <c r="L26" s="8"/>
      <c r="M26" s="8"/>
      <c r="N26" s="8"/>
      <c r="O26" s="8"/>
    </row>
    <row r="29">
      <c r="B29" s="7" t="s">
        <v>40</v>
      </c>
      <c r="C29" s="16"/>
      <c r="D29" s="7" t="s">
        <v>41</v>
      </c>
      <c r="E29" s="16"/>
      <c r="F29" s="16"/>
      <c r="G29" s="16"/>
      <c r="H29" s="16"/>
      <c r="I29" s="16">
        <f t="shared" ref="I29:I48" si="5">I5/C5</f>
        <v>0.2693086491</v>
      </c>
      <c r="J29" s="16"/>
      <c r="K29" s="16"/>
      <c r="L29" s="16"/>
      <c r="M29" s="16"/>
      <c r="N29" s="16"/>
      <c r="O29" s="16"/>
      <c r="P29" s="7"/>
    </row>
    <row r="30">
      <c r="B30" s="17"/>
      <c r="C30" s="16"/>
      <c r="D30" s="7" t="s">
        <v>42</v>
      </c>
      <c r="E30" s="16"/>
      <c r="F30" s="16"/>
      <c r="G30" s="16"/>
      <c r="H30" s="16"/>
      <c r="I30" s="16">
        <f t="shared" si="5"/>
        <v>0.389879718</v>
      </c>
      <c r="J30" s="16"/>
      <c r="K30" s="7"/>
      <c r="L30" s="7"/>
      <c r="M30" s="16"/>
      <c r="N30" s="16"/>
      <c r="O30" s="16"/>
    </row>
    <row r="31">
      <c r="B31" s="17"/>
      <c r="C31" s="16"/>
      <c r="D31" s="7" t="s">
        <v>43</v>
      </c>
      <c r="E31" s="16"/>
      <c r="F31" s="16"/>
      <c r="G31" s="16"/>
      <c r="H31" s="16"/>
      <c r="I31" s="16">
        <f t="shared" si="5"/>
        <v>0.4888515943</v>
      </c>
      <c r="J31" s="16"/>
      <c r="K31" s="8"/>
      <c r="L31" s="7"/>
      <c r="M31" s="16"/>
      <c r="N31" s="16"/>
      <c r="O31" s="16"/>
      <c r="P31" s="7"/>
    </row>
    <row r="32">
      <c r="B32" s="17"/>
      <c r="C32" s="16"/>
      <c r="D32" s="16"/>
      <c r="E32" s="16"/>
      <c r="F32" s="16"/>
      <c r="G32" s="16"/>
      <c r="H32" s="16"/>
      <c r="I32" s="16">
        <f t="shared" si="5"/>
        <v>0.5271273008</v>
      </c>
      <c r="J32" s="16"/>
      <c r="K32" s="8"/>
      <c r="L32" s="7"/>
      <c r="M32" s="16"/>
      <c r="N32" s="16"/>
      <c r="O32" s="16"/>
      <c r="P32" s="7"/>
    </row>
    <row r="33">
      <c r="B33" s="17"/>
      <c r="C33" s="16"/>
      <c r="D33" s="16"/>
      <c r="E33" s="16"/>
      <c r="F33" s="16"/>
      <c r="G33" s="16"/>
      <c r="H33" s="16"/>
      <c r="I33" s="16">
        <f t="shared" si="5"/>
        <v>0.541132866</v>
      </c>
      <c r="J33" s="16"/>
      <c r="K33" s="8"/>
      <c r="L33" s="7"/>
      <c r="M33" s="16"/>
      <c r="N33" s="16"/>
      <c r="O33" s="16"/>
      <c r="P33" s="7"/>
    </row>
    <row r="34">
      <c r="B34" s="7"/>
      <c r="C34" s="7"/>
      <c r="D34" s="7"/>
      <c r="E34" s="7"/>
      <c r="F34" s="7"/>
      <c r="G34" s="7"/>
      <c r="H34" s="7"/>
      <c r="I34" s="16">
        <f t="shared" si="5"/>
        <v>0.5402830702</v>
      </c>
      <c r="J34" s="7"/>
      <c r="K34" s="8"/>
      <c r="L34" s="7"/>
      <c r="M34" s="16"/>
      <c r="N34" s="7"/>
      <c r="O34" s="7"/>
      <c r="P34" s="7"/>
    </row>
    <row r="35">
      <c r="B35" s="7"/>
      <c r="C35" s="7"/>
      <c r="D35" s="7"/>
      <c r="E35" s="7"/>
      <c r="F35" s="7"/>
      <c r="G35" s="7"/>
      <c r="H35" s="7"/>
      <c r="I35" s="16">
        <f t="shared" si="5"/>
        <v>0.5387803434</v>
      </c>
      <c r="J35" s="7"/>
      <c r="K35" s="8"/>
      <c r="L35" s="7"/>
      <c r="M35" s="16"/>
      <c r="N35" s="7"/>
      <c r="O35" s="7"/>
      <c r="P35" s="7"/>
    </row>
    <row r="36">
      <c r="B36" s="8"/>
      <c r="C36" s="7"/>
      <c r="D36" s="7"/>
      <c r="E36" s="8"/>
      <c r="F36" s="7"/>
      <c r="G36" s="7"/>
      <c r="H36" s="7"/>
      <c r="I36" s="16">
        <f t="shared" si="5"/>
        <v>0.5412541254</v>
      </c>
      <c r="J36" s="7"/>
      <c r="K36" s="8"/>
      <c r="L36" s="7"/>
      <c r="M36" s="16"/>
      <c r="N36" s="7"/>
      <c r="O36" s="7"/>
      <c r="P36" s="7"/>
    </row>
    <row r="37">
      <c r="B37" s="8"/>
      <c r="C37" s="7"/>
      <c r="D37" s="7"/>
      <c r="E37" s="8"/>
      <c r="F37" s="7"/>
      <c r="G37" s="7"/>
      <c r="H37" s="7"/>
      <c r="I37" s="16">
        <f t="shared" si="5"/>
        <v>0.5537307765</v>
      </c>
      <c r="J37" s="7"/>
      <c r="K37" s="8"/>
      <c r="L37" s="7"/>
      <c r="M37" s="16"/>
      <c r="N37" s="7"/>
      <c r="O37" s="7"/>
      <c r="P37" s="7"/>
    </row>
    <row r="38">
      <c r="B38" s="8"/>
      <c r="C38" s="7"/>
      <c r="D38" s="7"/>
      <c r="E38" s="8"/>
      <c r="F38" s="7"/>
      <c r="G38" s="7"/>
      <c r="H38" s="7"/>
      <c r="I38" s="16">
        <f t="shared" si="5"/>
        <v>0.5682386413</v>
      </c>
      <c r="J38" s="7"/>
      <c r="K38" s="8"/>
      <c r="L38" s="7"/>
      <c r="M38" s="16"/>
      <c r="N38" s="7"/>
      <c r="O38" s="7"/>
      <c r="P38" s="7"/>
    </row>
    <row r="39">
      <c r="B39" s="8"/>
      <c r="C39" s="7"/>
      <c r="D39" s="7"/>
      <c r="E39" s="8"/>
      <c r="F39" s="7"/>
      <c r="G39" s="7"/>
      <c r="H39" s="7"/>
      <c r="I39" s="16">
        <f t="shared" si="5"/>
        <v>0.5967884384</v>
      </c>
      <c r="J39" s="7"/>
      <c r="K39" s="8"/>
      <c r="L39" s="7"/>
      <c r="M39" s="16"/>
      <c r="N39" s="7"/>
      <c r="O39" s="7"/>
      <c r="P39" s="7"/>
    </row>
    <row r="40">
      <c r="B40" s="8"/>
      <c r="C40" s="7"/>
      <c r="D40" s="8"/>
      <c r="E40" s="8"/>
      <c r="F40" s="7"/>
      <c r="G40" s="7"/>
      <c r="H40" s="7"/>
      <c r="I40" s="16">
        <f t="shared" si="5"/>
        <v>0.6145817913</v>
      </c>
      <c r="J40" s="7"/>
      <c r="K40" s="8"/>
      <c r="L40" s="7"/>
      <c r="M40" s="16"/>
      <c r="N40" s="7"/>
      <c r="O40" s="7"/>
      <c r="P40" s="8"/>
    </row>
    <row r="41">
      <c r="B41" s="7"/>
      <c r="C41" s="7"/>
      <c r="D41" s="7"/>
      <c r="E41" s="7"/>
      <c r="F41" s="7"/>
      <c r="G41" s="7"/>
      <c r="H41" s="7"/>
      <c r="I41" s="16">
        <f t="shared" si="5"/>
        <v>0.6247446548</v>
      </c>
      <c r="J41" s="7"/>
      <c r="K41" s="8"/>
      <c r="L41" s="7"/>
      <c r="M41" s="16"/>
      <c r="N41" s="7"/>
      <c r="O41" s="7"/>
    </row>
    <row r="42">
      <c r="B42" s="8"/>
      <c r="C42" s="7"/>
      <c r="D42" s="7"/>
      <c r="E42" s="7"/>
      <c r="F42" s="7"/>
      <c r="G42" s="7"/>
      <c r="H42" s="7"/>
      <c r="I42" s="16">
        <f t="shared" si="5"/>
        <v>0.6258343634</v>
      </c>
      <c r="J42" s="7"/>
      <c r="K42" s="8"/>
      <c r="L42" s="7"/>
      <c r="M42" s="16"/>
      <c r="N42" s="7"/>
      <c r="O42" s="7"/>
      <c r="P42" s="7"/>
      <c r="Q42" s="7"/>
      <c r="R42" s="7"/>
      <c r="S42" s="7"/>
    </row>
    <row r="43">
      <c r="B43" s="8"/>
      <c r="C43" s="7"/>
      <c r="D43" s="7"/>
      <c r="E43" s="7"/>
      <c r="F43" s="7"/>
      <c r="G43" s="7"/>
      <c r="H43" s="7"/>
      <c r="I43" s="16">
        <f t="shared" si="5"/>
        <v>0.6243223607</v>
      </c>
      <c r="J43" s="7"/>
      <c r="K43" s="8"/>
      <c r="L43" s="7"/>
      <c r="M43" s="16"/>
      <c r="N43" s="7"/>
      <c r="O43" s="7"/>
      <c r="P43" s="7"/>
      <c r="Q43" s="7"/>
      <c r="R43" s="7"/>
      <c r="S43" s="7"/>
    </row>
    <row r="44">
      <c r="B44" s="8"/>
      <c r="C44" s="7"/>
      <c r="D44" s="7"/>
      <c r="E44" s="7"/>
      <c r="F44" s="7"/>
      <c r="G44" s="7"/>
      <c r="H44" s="7"/>
      <c r="I44" s="16">
        <f t="shared" si="5"/>
        <v>0.6190524143</v>
      </c>
      <c r="J44" s="7"/>
      <c r="K44" s="8"/>
      <c r="L44" s="7"/>
      <c r="M44" s="16"/>
      <c r="N44" s="7"/>
      <c r="O44" s="7"/>
      <c r="P44" s="7"/>
      <c r="Q44" s="7"/>
      <c r="R44" s="7"/>
      <c r="S44" s="7"/>
    </row>
    <row r="45">
      <c r="B45" s="8"/>
      <c r="C45" s="7"/>
      <c r="D45" s="7"/>
      <c r="E45" s="7"/>
      <c r="F45" s="7"/>
      <c r="G45" s="7"/>
      <c r="H45" s="7"/>
      <c r="I45" s="16">
        <f t="shared" si="5"/>
        <v>0.6046656576</v>
      </c>
      <c r="J45" s="7"/>
      <c r="K45" s="8"/>
      <c r="L45" s="7"/>
      <c r="M45" s="16"/>
      <c r="N45" s="7"/>
      <c r="O45" s="7"/>
      <c r="P45" s="7"/>
      <c r="Q45" s="7"/>
      <c r="R45" s="7"/>
      <c r="S45" s="7"/>
    </row>
    <row r="46">
      <c r="B46" s="8"/>
      <c r="C46" s="18"/>
      <c r="D46" s="18"/>
      <c r="E46" s="16"/>
      <c r="F46" s="7"/>
      <c r="G46" s="7"/>
      <c r="H46" s="7"/>
      <c r="I46" s="16">
        <f t="shared" si="5"/>
        <v>0.5741725655</v>
      </c>
      <c r="J46" s="7"/>
      <c r="K46" s="8"/>
      <c r="L46" s="7"/>
      <c r="M46" s="16"/>
      <c r="N46" s="7"/>
      <c r="O46" s="7"/>
      <c r="P46" s="7"/>
      <c r="Q46" s="7"/>
      <c r="R46" s="7"/>
      <c r="S46" s="7"/>
    </row>
    <row r="47">
      <c r="B47" s="8"/>
      <c r="C47" s="18"/>
      <c r="D47" s="18"/>
      <c r="E47" s="16"/>
      <c r="F47" s="7"/>
      <c r="G47" s="7"/>
      <c r="H47" s="7"/>
      <c r="I47" s="16">
        <f t="shared" si="5"/>
        <v>0.5228106654</v>
      </c>
      <c r="J47" s="7"/>
      <c r="K47" s="8"/>
      <c r="L47" s="7"/>
      <c r="M47" s="16"/>
      <c r="N47" s="7"/>
      <c r="O47" s="7"/>
      <c r="P47" s="7"/>
      <c r="Q47" s="7"/>
      <c r="R47" s="7"/>
      <c r="S47" s="7"/>
    </row>
    <row r="48">
      <c r="B48" s="8"/>
      <c r="C48" s="7"/>
      <c r="D48" s="7"/>
      <c r="E48" s="16"/>
      <c r="F48" s="7"/>
      <c r="G48" s="7"/>
      <c r="H48" s="7"/>
      <c r="I48" s="16">
        <f t="shared" si="5"/>
        <v>0.2844367794</v>
      </c>
      <c r="J48" s="7"/>
      <c r="K48" s="8"/>
      <c r="L48" s="7"/>
      <c r="M48" s="16"/>
      <c r="N48" s="7"/>
      <c r="O48" s="7"/>
      <c r="P48" s="7"/>
      <c r="Q48" s="7"/>
      <c r="R48" s="7"/>
      <c r="S48" s="7"/>
    </row>
    <row r="49">
      <c r="B49" s="8"/>
      <c r="C49" s="18"/>
      <c r="D49" s="18"/>
      <c r="E49" s="16"/>
      <c r="F49" s="7"/>
      <c r="G49" s="7"/>
      <c r="H49" s="7"/>
      <c r="I49" s="16"/>
      <c r="J49" s="7"/>
      <c r="K49" s="8"/>
      <c r="L49" s="7"/>
      <c r="M49" s="7"/>
      <c r="N49" s="7"/>
      <c r="O49" s="7"/>
      <c r="P49" s="7"/>
      <c r="Q49" s="7"/>
      <c r="R49" s="7"/>
      <c r="S49" s="7"/>
    </row>
    <row r="50">
      <c r="B50" s="8"/>
      <c r="C50" s="7"/>
      <c r="D50" s="7"/>
      <c r="E50" s="16"/>
      <c r="F50" s="7"/>
      <c r="G50" s="7"/>
      <c r="H50" s="7"/>
      <c r="I50" s="16"/>
      <c r="J50" s="7"/>
      <c r="K50" s="8"/>
      <c r="L50" s="7"/>
      <c r="M50" s="7"/>
      <c r="N50" s="7"/>
      <c r="O50" s="7"/>
      <c r="P50" s="7"/>
      <c r="Q50" s="7"/>
      <c r="R50" s="7"/>
      <c r="S50" s="7"/>
    </row>
    <row r="51">
      <c r="B51" s="8"/>
      <c r="C51" s="7"/>
      <c r="D51" s="7"/>
      <c r="E51" s="8"/>
      <c r="F51" s="7"/>
      <c r="G51" s="7"/>
      <c r="H51" s="7"/>
      <c r="I51" s="16"/>
      <c r="J51" s="7"/>
      <c r="K51" s="8"/>
      <c r="L51" s="8"/>
      <c r="M51" s="8"/>
      <c r="N51" s="7"/>
      <c r="O51" s="7"/>
      <c r="P51" s="7"/>
      <c r="Q51" s="7"/>
      <c r="R51" s="7"/>
      <c r="S51" s="7"/>
    </row>
    <row r="52">
      <c r="B52" s="8"/>
      <c r="C52" s="7"/>
      <c r="D52" s="7"/>
      <c r="E52" s="16"/>
      <c r="F52" s="7"/>
      <c r="G52" s="7"/>
      <c r="H52" s="7"/>
      <c r="I52" s="16"/>
      <c r="J52" s="7"/>
      <c r="K52" s="8"/>
      <c r="L52" s="7"/>
      <c r="M52" s="7"/>
      <c r="N52" s="7"/>
      <c r="O52" s="7"/>
      <c r="P52" s="7"/>
      <c r="Q52" s="7"/>
      <c r="R52" s="7"/>
      <c r="S52" s="7"/>
    </row>
    <row r="53">
      <c r="B53" s="8"/>
      <c r="C53" s="7"/>
      <c r="D53" s="7"/>
      <c r="E53" s="7"/>
      <c r="F53" s="7"/>
      <c r="G53" s="7"/>
      <c r="H53" s="7"/>
      <c r="I53" s="16"/>
      <c r="J53" s="7"/>
      <c r="K53" s="8"/>
      <c r="L53" s="7"/>
      <c r="M53" s="7"/>
      <c r="N53" s="7"/>
      <c r="O53" s="7"/>
      <c r="P53" s="7"/>
      <c r="Q53" s="7"/>
      <c r="R53" s="7"/>
      <c r="S53" s="7"/>
    </row>
    <row r="54">
      <c r="B54" s="8"/>
      <c r="C54" s="7"/>
      <c r="D54" s="7"/>
      <c r="E54" s="16"/>
      <c r="F54" s="7"/>
      <c r="G54" s="7"/>
      <c r="H54" s="7"/>
      <c r="I54" s="16"/>
      <c r="J54" s="7"/>
      <c r="K54" s="8"/>
      <c r="L54" s="7"/>
      <c r="M54" s="7"/>
      <c r="N54" s="7"/>
      <c r="O54" s="7"/>
      <c r="P54" s="7"/>
      <c r="Q54" s="7"/>
      <c r="R54" s="7"/>
      <c r="S54" s="7"/>
    </row>
    <row r="55">
      <c r="B55" s="8"/>
      <c r="C55" s="7"/>
      <c r="D55" s="7"/>
      <c r="E55" s="16"/>
      <c r="F55" s="7"/>
      <c r="G55" s="7"/>
      <c r="H55" s="7"/>
      <c r="I55" s="16"/>
      <c r="J55" s="7"/>
      <c r="K55" s="8"/>
      <c r="L55" s="7"/>
      <c r="M55" s="7"/>
      <c r="N55" s="7"/>
      <c r="O55" s="7"/>
      <c r="P55" s="7"/>
      <c r="Q55" s="7"/>
      <c r="R55" s="7"/>
      <c r="S55" s="7"/>
    </row>
    <row r="56">
      <c r="B56" s="8"/>
      <c r="C56" s="7"/>
      <c r="D56" s="7"/>
      <c r="E56" s="16"/>
      <c r="F56" s="8"/>
      <c r="G56" s="7"/>
      <c r="H56" s="16"/>
      <c r="I56" s="8"/>
      <c r="J56" s="7"/>
      <c r="K56" s="8"/>
      <c r="L56" s="7"/>
      <c r="M56" s="7"/>
      <c r="N56" s="7"/>
      <c r="O56" s="7"/>
      <c r="P56" s="7"/>
      <c r="Q56" s="7"/>
      <c r="R56" s="7"/>
      <c r="S56" s="7"/>
    </row>
    <row r="57">
      <c r="B57" s="8"/>
      <c r="C57" s="7"/>
      <c r="D57" s="7"/>
      <c r="E57" s="16"/>
      <c r="F57" s="8"/>
      <c r="G57" s="8"/>
      <c r="H57" s="8"/>
      <c r="I57" s="8"/>
      <c r="J57" s="7"/>
      <c r="K57" s="8"/>
      <c r="L57" s="7"/>
      <c r="M57" s="7"/>
      <c r="N57" s="7"/>
      <c r="O57" s="7"/>
      <c r="P57" s="7"/>
      <c r="Q57" s="7"/>
      <c r="R57" s="7"/>
      <c r="S57" s="7"/>
    </row>
    <row r="58">
      <c r="B58" s="8"/>
      <c r="C58" s="7"/>
      <c r="D58" s="7"/>
      <c r="E58" s="7"/>
      <c r="F58" s="19"/>
      <c r="G58" s="19"/>
      <c r="H58" s="19"/>
      <c r="I58" s="19"/>
      <c r="J58" s="19"/>
      <c r="K58" s="19"/>
      <c r="L58" s="19"/>
      <c r="M58" s="19"/>
      <c r="N58" s="7"/>
      <c r="O58" s="7"/>
      <c r="P58" s="7"/>
      <c r="Q58" s="7"/>
      <c r="R58" s="7"/>
      <c r="S58" s="7"/>
    </row>
    <row r="59">
      <c r="B59" s="8"/>
      <c r="C59" s="7"/>
      <c r="D59" s="7"/>
      <c r="E59" s="16"/>
      <c r="F59" s="8"/>
      <c r="G59" s="8"/>
      <c r="H59" s="16"/>
      <c r="I59" s="8"/>
      <c r="J59" s="8"/>
      <c r="K59" s="8"/>
      <c r="L59" s="8"/>
      <c r="M59" s="8"/>
      <c r="N59" s="7"/>
      <c r="O59" s="7"/>
      <c r="P59" s="7"/>
      <c r="Q59" s="7"/>
      <c r="R59" s="7"/>
      <c r="S59" s="7"/>
    </row>
    <row r="60">
      <c r="B60" s="8"/>
      <c r="C60" s="7"/>
      <c r="D60" s="7"/>
      <c r="E60" s="7"/>
      <c r="F60" s="19"/>
      <c r="G60" s="19"/>
      <c r="H60" s="7"/>
      <c r="I60" s="8"/>
      <c r="J60" s="7"/>
      <c r="K60" s="7"/>
      <c r="L60" s="7"/>
      <c r="M60" s="7"/>
      <c r="N60" s="7"/>
      <c r="O60" s="7"/>
      <c r="P60" s="7"/>
      <c r="Q60" s="7"/>
      <c r="R60" s="7"/>
      <c r="S60" s="7"/>
    </row>
    <row r="61">
      <c r="B61" s="8"/>
      <c r="C61" s="8"/>
      <c r="D61" s="8"/>
      <c r="E61" s="8"/>
      <c r="F61" s="8"/>
      <c r="G61" s="8"/>
      <c r="H61" s="7"/>
      <c r="I61" s="8"/>
      <c r="J61" s="7"/>
      <c r="K61" s="7"/>
      <c r="L61" s="7"/>
      <c r="M61" s="7"/>
      <c r="N61" s="7"/>
      <c r="O61" s="7"/>
      <c r="P61" s="7"/>
      <c r="Q61" s="7"/>
      <c r="R61" s="7"/>
      <c r="S61" s="7"/>
    </row>
    <row r="62">
      <c r="B62" s="19"/>
      <c r="C62" s="19"/>
      <c r="D62" s="19"/>
      <c r="E62" s="19"/>
      <c r="F62" s="7"/>
      <c r="G62" s="7"/>
      <c r="H62" s="7"/>
      <c r="I62" s="8"/>
      <c r="J62" s="7"/>
      <c r="K62" s="7"/>
      <c r="L62" s="7"/>
      <c r="M62" s="7"/>
      <c r="N62" s="7"/>
      <c r="O62" s="7"/>
      <c r="P62" s="7"/>
      <c r="Q62" s="7"/>
      <c r="R62" s="7"/>
      <c r="S62" s="7"/>
    </row>
    <row r="63">
      <c r="B63" s="8"/>
      <c r="C63" s="8"/>
      <c r="D63" s="8"/>
      <c r="E63" s="16"/>
      <c r="F63" s="7"/>
      <c r="G63" s="7"/>
      <c r="H63" s="7"/>
      <c r="I63" s="8"/>
      <c r="J63" s="7"/>
      <c r="K63" s="7"/>
      <c r="L63" s="18"/>
      <c r="M63" s="7"/>
      <c r="N63" s="7"/>
      <c r="O63" s="7"/>
      <c r="P63" s="8"/>
      <c r="Q63" s="8"/>
      <c r="R63" s="8"/>
      <c r="S63" s="8"/>
    </row>
    <row r="64">
      <c r="B64" s="8"/>
      <c r="C64" s="18"/>
      <c r="D64" s="18"/>
      <c r="E64" s="7"/>
      <c r="F64" s="18"/>
      <c r="G64" s="7"/>
      <c r="H64" s="7"/>
      <c r="I64" s="8"/>
      <c r="J64" s="7"/>
      <c r="K64" s="7"/>
      <c r="L64" s="7"/>
      <c r="M64" s="7"/>
      <c r="N64" s="7"/>
      <c r="O64" s="7"/>
    </row>
    <row r="65">
      <c r="B65" s="8"/>
      <c r="C65" s="18"/>
      <c r="D65" s="18"/>
      <c r="E65" s="7"/>
      <c r="F65" s="7"/>
      <c r="G65" s="7"/>
      <c r="H65" s="7"/>
      <c r="I65" s="8"/>
      <c r="J65" s="7"/>
      <c r="K65" s="7"/>
      <c r="L65" s="7"/>
      <c r="M65" s="7"/>
      <c r="N65" s="7"/>
      <c r="O65" s="7"/>
    </row>
    <row r="66">
      <c r="B66" s="8"/>
      <c r="C66" s="7"/>
      <c r="D66" s="7"/>
      <c r="E66" s="7"/>
      <c r="F66" s="7"/>
      <c r="G66" s="7"/>
      <c r="H66" s="7"/>
      <c r="I66" s="8"/>
      <c r="J66" s="7"/>
      <c r="K66" s="7"/>
      <c r="L66" s="7"/>
      <c r="M66" s="7"/>
      <c r="N66" s="7"/>
      <c r="O66" s="7"/>
    </row>
    <row r="67">
      <c r="B67" s="8"/>
      <c r="C67" s="20"/>
      <c r="D67" s="20"/>
      <c r="E67" s="8"/>
      <c r="F67" s="8"/>
      <c r="G67" s="8"/>
      <c r="H67" s="8"/>
      <c r="I67" s="20"/>
      <c r="J67" s="8"/>
      <c r="K67" s="8"/>
      <c r="L67" s="8"/>
      <c r="M67" s="8"/>
      <c r="N67" s="8"/>
      <c r="O67" s="8"/>
    </row>
    <row r="68">
      <c r="I68" s="8"/>
      <c r="J68" s="8"/>
      <c r="K68" s="8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.88"/>
    <col customWidth="1" min="2" max="2" width="19.38"/>
    <col customWidth="1" min="3" max="3" width="13.5"/>
    <col customWidth="1" min="4" max="4" width="14.25"/>
    <col customWidth="1" min="5" max="5" width="14.88"/>
    <col customWidth="1" min="6" max="6" width="12.0"/>
    <col customWidth="1" min="7" max="7" width="13.0"/>
    <col customWidth="1" min="8" max="8" width="14.0"/>
    <col customWidth="1" min="9" max="9" width="13.63"/>
    <col customWidth="1" min="10" max="10" width="12.5"/>
    <col customWidth="1" min="11" max="11" width="12.38"/>
    <col customWidth="1" min="12" max="12" width="11.75"/>
    <col customWidth="1" min="13" max="13" width="15.75"/>
    <col customWidth="1" min="14" max="15" width="13.38"/>
  </cols>
  <sheetData>
    <row r="4">
      <c r="B4" s="6" t="s">
        <v>5</v>
      </c>
      <c r="C4" s="6" t="s">
        <v>6</v>
      </c>
      <c r="D4" s="6" t="s">
        <v>7</v>
      </c>
      <c r="E4" s="6" t="s">
        <v>8</v>
      </c>
      <c r="F4" s="6" t="s">
        <v>9</v>
      </c>
      <c r="G4" s="6" t="s">
        <v>10</v>
      </c>
      <c r="H4" s="6" t="s">
        <v>11</v>
      </c>
      <c r="I4" s="6" t="s">
        <v>12</v>
      </c>
      <c r="J4" s="6" t="s">
        <v>44</v>
      </c>
      <c r="K4" s="6" t="s">
        <v>45</v>
      </c>
      <c r="L4" s="6" t="s">
        <v>46</v>
      </c>
      <c r="M4" s="6" t="s">
        <v>47</v>
      </c>
      <c r="N4" s="6" t="s">
        <v>48</v>
      </c>
      <c r="O4" s="6" t="s">
        <v>49</v>
      </c>
    </row>
    <row r="5">
      <c r="A5" s="7"/>
      <c r="B5" s="8" t="s">
        <v>50</v>
      </c>
      <c r="C5" s="9">
        <v>107.4</v>
      </c>
      <c r="D5" s="10">
        <v>40.8</v>
      </c>
      <c r="E5" s="10">
        <v>0.8</v>
      </c>
      <c r="F5" s="10">
        <v>0.2</v>
      </c>
      <c r="G5" s="10">
        <v>0.6</v>
      </c>
      <c r="H5" s="10">
        <v>65.0</v>
      </c>
      <c r="I5" s="11">
        <v>18.7</v>
      </c>
      <c r="J5" s="12">
        <v>10.0</v>
      </c>
      <c r="K5" s="12">
        <v>0.3</v>
      </c>
      <c r="L5" s="12">
        <v>5.1</v>
      </c>
      <c r="M5" s="12">
        <v>0.0</v>
      </c>
      <c r="N5" s="12">
        <v>0.0</v>
      </c>
      <c r="O5" s="12">
        <v>3.3</v>
      </c>
    </row>
    <row r="6">
      <c r="A6" s="7"/>
      <c r="B6" s="8" t="s">
        <v>51</v>
      </c>
      <c r="C6" s="9">
        <v>109.7</v>
      </c>
      <c r="D6" s="10">
        <v>71.6</v>
      </c>
      <c r="E6" s="10">
        <v>2.0</v>
      </c>
      <c r="F6" s="10">
        <v>0.5</v>
      </c>
      <c r="G6" s="10">
        <v>0.6</v>
      </c>
      <c r="H6" s="10">
        <v>35.0</v>
      </c>
      <c r="I6" s="11">
        <v>21.8</v>
      </c>
      <c r="J6" s="12">
        <v>11.6</v>
      </c>
      <c r="K6" s="12">
        <v>1.4</v>
      </c>
      <c r="L6" s="12">
        <v>7.6</v>
      </c>
      <c r="M6" s="12">
        <v>0.0</v>
      </c>
      <c r="N6" s="12">
        <v>0.0</v>
      </c>
      <c r="O6" s="12">
        <v>1.2</v>
      </c>
    </row>
    <row r="7">
      <c r="A7" s="7"/>
      <c r="B7" s="8" t="s">
        <v>52</v>
      </c>
      <c r="C7" s="9">
        <v>128.3</v>
      </c>
      <c r="D7" s="10">
        <v>102.1</v>
      </c>
      <c r="E7" s="10">
        <v>3.0</v>
      </c>
      <c r="F7" s="10">
        <v>0.4</v>
      </c>
      <c r="G7" s="10">
        <v>0.8</v>
      </c>
      <c r="H7" s="10">
        <v>22.0</v>
      </c>
      <c r="I7" s="11">
        <v>24.9</v>
      </c>
      <c r="J7" s="12">
        <v>11.8</v>
      </c>
      <c r="K7" s="12">
        <v>3.4</v>
      </c>
      <c r="L7" s="12">
        <v>8.0</v>
      </c>
      <c r="M7" s="12">
        <v>0.0</v>
      </c>
      <c r="N7" s="12">
        <v>0.1</v>
      </c>
      <c r="O7" s="12">
        <v>1.6</v>
      </c>
    </row>
    <row r="8">
      <c r="A8" s="7"/>
      <c r="B8" s="8" t="s">
        <v>53</v>
      </c>
      <c r="C8" s="9">
        <v>153.8</v>
      </c>
      <c r="D8" s="10">
        <v>132.6</v>
      </c>
      <c r="E8" s="10">
        <v>4.5</v>
      </c>
      <c r="F8" s="10">
        <v>0.7</v>
      </c>
      <c r="G8" s="10">
        <v>1.0</v>
      </c>
      <c r="H8" s="10">
        <v>15.0</v>
      </c>
      <c r="I8" s="11">
        <v>28.5</v>
      </c>
      <c r="J8" s="12">
        <v>12.0</v>
      </c>
      <c r="K8" s="12">
        <v>6.2</v>
      </c>
      <c r="L8" s="12">
        <v>8.1</v>
      </c>
      <c r="M8" s="12">
        <v>0.0</v>
      </c>
      <c r="N8" s="12">
        <v>0.1</v>
      </c>
      <c r="O8" s="12">
        <v>2.1</v>
      </c>
    </row>
    <row r="9">
      <c r="A9" s="7"/>
      <c r="B9" s="8" t="s">
        <v>54</v>
      </c>
      <c r="C9" s="9">
        <v>184.0</v>
      </c>
      <c r="D9" s="10">
        <v>162.6</v>
      </c>
      <c r="E9" s="10">
        <v>5.0</v>
      </c>
      <c r="F9" s="10">
        <v>1.4</v>
      </c>
      <c r="G9" s="10">
        <v>3.0</v>
      </c>
      <c r="H9" s="10">
        <v>12.0</v>
      </c>
      <c r="I9" s="11">
        <v>31.1</v>
      </c>
      <c r="J9" s="12">
        <v>12.1</v>
      </c>
      <c r="K9" s="12">
        <v>8.6</v>
      </c>
      <c r="L9" s="12">
        <v>7.5</v>
      </c>
      <c r="M9" s="12">
        <v>0.1</v>
      </c>
      <c r="N9" s="12">
        <v>0.2</v>
      </c>
      <c r="O9" s="12">
        <v>2.6</v>
      </c>
    </row>
    <row r="10">
      <c r="A10" s="7"/>
      <c r="B10" s="8" t="s">
        <v>55</v>
      </c>
      <c r="C10" s="9">
        <v>226.0</v>
      </c>
      <c r="D10" s="10">
        <v>202.2</v>
      </c>
      <c r="E10" s="10">
        <v>11.0</v>
      </c>
      <c r="F10" s="10">
        <v>2.8</v>
      </c>
      <c r="G10" s="10">
        <v>0.0</v>
      </c>
      <c r="H10" s="10">
        <v>10.0</v>
      </c>
      <c r="I10" s="11">
        <v>34.2</v>
      </c>
      <c r="J10" s="12">
        <v>12.6</v>
      </c>
      <c r="K10" s="12">
        <v>10.5</v>
      </c>
      <c r="L10" s="12">
        <v>7.5</v>
      </c>
      <c r="M10" s="12">
        <v>0.2</v>
      </c>
      <c r="N10" s="12">
        <v>0.2</v>
      </c>
      <c r="O10" s="12">
        <v>3.2</v>
      </c>
    </row>
    <row r="11">
      <c r="A11" s="7"/>
      <c r="B11" s="8" t="s">
        <v>56</v>
      </c>
      <c r="C11" s="9">
        <v>272.0</v>
      </c>
      <c r="D11" s="10">
        <v>240.4</v>
      </c>
      <c r="E11" s="10">
        <v>15.0</v>
      </c>
      <c r="F11" s="10">
        <v>5.6</v>
      </c>
      <c r="G11" s="10">
        <v>2.0</v>
      </c>
      <c r="H11" s="10">
        <v>9.0</v>
      </c>
      <c r="I11" s="11">
        <v>37.3</v>
      </c>
      <c r="J11" s="12">
        <v>13.2</v>
      </c>
      <c r="K11" s="12">
        <v>12.5</v>
      </c>
      <c r="L11" s="12">
        <v>6.6</v>
      </c>
      <c r="M11" s="12">
        <v>0.6</v>
      </c>
      <c r="N11" s="12">
        <v>0.4</v>
      </c>
      <c r="O11" s="12">
        <v>4.0</v>
      </c>
    </row>
    <row r="12">
      <c r="A12" s="7"/>
      <c r="B12" s="8" t="s">
        <v>57</v>
      </c>
      <c r="C12" s="9">
        <v>321.5</v>
      </c>
      <c r="D12" s="10">
        <v>277.1</v>
      </c>
      <c r="E12" s="10">
        <v>18.5</v>
      </c>
      <c r="F12" s="10">
        <v>8.9</v>
      </c>
      <c r="G12" s="10">
        <v>6.0</v>
      </c>
      <c r="H12" s="10">
        <v>11.0</v>
      </c>
      <c r="I12" s="11">
        <v>37.3</v>
      </c>
      <c r="J12" s="12">
        <v>13.6</v>
      </c>
      <c r="K12" s="12">
        <v>14.8</v>
      </c>
      <c r="L12" s="12">
        <v>2.1</v>
      </c>
      <c r="M12" s="12">
        <v>1.1</v>
      </c>
      <c r="N12" s="12">
        <v>1.5</v>
      </c>
      <c r="O12" s="12">
        <v>4.2</v>
      </c>
    </row>
    <row r="13">
      <c r="A13" s="7"/>
      <c r="B13" s="8" t="s">
        <v>58</v>
      </c>
      <c r="C13" s="9">
        <v>411.5</v>
      </c>
      <c r="D13" s="10">
        <v>327.3</v>
      </c>
      <c r="E13" s="10">
        <v>27.0</v>
      </c>
      <c r="F13" s="10">
        <v>21.2</v>
      </c>
      <c r="G13" s="10">
        <v>32.0</v>
      </c>
      <c r="H13" s="10">
        <v>4.0</v>
      </c>
      <c r="I13" s="11">
        <v>38.9</v>
      </c>
      <c r="J13" s="12">
        <v>14.3</v>
      </c>
      <c r="K13" s="12">
        <v>15.2</v>
      </c>
      <c r="L13" s="12">
        <v>0.0</v>
      </c>
      <c r="M13" s="12">
        <v>1.9</v>
      </c>
      <c r="N13" s="12">
        <v>2.2</v>
      </c>
      <c r="O13" s="12">
        <v>5.3</v>
      </c>
    </row>
    <row r="14">
      <c r="A14" s="7"/>
      <c r="B14" s="8" t="s">
        <v>59</v>
      </c>
      <c r="C14" s="9">
        <v>527.0</v>
      </c>
      <c r="D14" s="10">
        <v>330.0</v>
      </c>
      <c r="E14" s="10">
        <v>62.5</v>
      </c>
      <c r="F14" s="10">
        <v>37.5</v>
      </c>
      <c r="G14" s="10">
        <v>95.0</v>
      </c>
      <c r="H14" s="10">
        <v>2.0</v>
      </c>
      <c r="I14" s="11">
        <v>123.5</v>
      </c>
      <c r="J14" s="12">
        <v>8.5</v>
      </c>
      <c r="K14" s="12">
        <v>45.0</v>
      </c>
      <c r="L14" s="12">
        <v>10.0</v>
      </c>
      <c r="M14" s="12">
        <v>12.0</v>
      </c>
      <c r="N14" s="12">
        <v>3.0</v>
      </c>
      <c r="O14" s="12">
        <v>45.0</v>
      </c>
    </row>
    <row r="15">
      <c r="A15" s="7"/>
      <c r="B15" s="8" t="s">
        <v>60</v>
      </c>
      <c r="C15" s="13">
        <v>423.0</v>
      </c>
      <c r="D15" s="21">
        <v>15.0</v>
      </c>
      <c r="E15" s="10">
        <v>125.0</v>
      </c>
      <c r="F15" s="10">
        <v>82.5</v>
      </c>
      <c r="G15" s="10">
        <v>200.0</v>
      </c>
      <c r="H15" s="10">
        <v>0.5</v>
      </c>
      <c r="I15" s="11">
        <v>118.0</v>
      </c>
      <c r="J15" s="12">
        <v>9.8</v>
      </c>
      <c r="K15" s="12">
        <v>40.0</v>
      </c>
      <c r="L15" s="12">
        <v>5.0</v>
      </c>
      <c r="M15" s="12">
        <v>32.5</v>
      </c>
      <c r="N15" s="12">
        <v>4.1</v>
      </c>
      <c r="O15" s="12">
        <v>26.6</v>
      </c>
    </row>
    <row r="16">
      <c r="A16" s="7"/>
      <c r="B16" s="8" t="s">
        <v>39</v>
      </c>
      <c r="C16" s="13">
        <v>2864.2</v>
      </c>
      <c r="D16" s="14">
        <v>1902.7</v>
      </c>
      <c r="E16" s="22">
        <v>274.3</v>
      </c>
      <c r="F16" s="22">
        <v>161.7</v>
      </c>
      <c r="G16" s="22">
        <v>350.0</v>
      </c>
      <c r="H16" s="22">
        <v>175.5</v>
      </c>
      <c r="I16" s="11">
        <v>514.2</v>
      </c>
      <c r="J16" s="15">
        <v>129.5</v>
      </c>
      <c r="K16" s="15">
        <v>157.9</v>
      </c>
      <c r="L16" s="15">
        <v>67.6</v>
      </c>
      <c r="M16" s="15">
        <v>48.4</v>
      </c>
      <c r="N16" s="15">
        <v>13.8</v>
      </c>
      <c r="O16" s="15">
        <v>97.0</v>
      </c>
    </row>
    <row r="17">
      <c r="A17" s="8"/>
      <c r="B17" s="8"/>
      <c r="C17" s="8"/>
      <c r="D17" s="8"/>
      <c r="E17" s="8"/>
      <c r="H17" s="8"/>
      <c r="I17" s="8"/>
      <c r="L17" s="8"/>
      <c r="M17" s="8"/>
      <c r="N17" s="8"/>
      <c r="O17" s="8"/>
    </row>
    <row r="20">
      <c r="B20" s="7" t="s">
        <v>40</v>
      </c>
      <c r="C20" s="16"/>
      <c r="D20" s="7" t="s">
        <v>41</v>
      </c>
      <c r="E20" s="16"/>
      <c r="F20" s="16"/>
      <c r="G20" s="16"/>
      <c r="H20" s="16"/>
      <c r="I20" s="16">
        <f t="shared" ref="I20:I29" si="1">I5/(C5)</f>
        <v>0.1741154562</v>
      </c>
      <c r="J20" s="16"/>
      <c r="K20" s="16"/>
      <c r="L20" s="16"/>
      <c r="M20" s="16"/>
      <c r="N20" s="16"/>
      <c r="O20" s="16"/>
      <c r="P20" s="7"/>
    </row>
    <row r="21">
      <c r="B21" s="17"/>
      <c r="C21" s="16"/>
      <c r="D21" s="7" t="s">
        <v>42</v>
      </c>
      <c r="E21" s="16"/>
      <c r="F21" s="16"/>
      <c r="G21" s="16"/>
      <c r="H21" s="16"/>
      <c r="I21" s="16">
        <f t="shared" si="1"/>
        <v>0.1987237922</v>
      </c>
      <c r="J21" s="16"/>
      <c r="K21" s="16"/>
      <c r="L21" s="16"/>
      <c r="M21" s="16"/>
      <c r="N21" s="16"/>
      <c r="O21" s="16"/>
    </row>
    <row r="22">
      <c r="B22" s="17"/>
      <c r="C22" s="16"/>
      <c r="D22" s="7" t="s">
        <v>43</v>
      </c>
      <c r="E22" s="16"/>
      <c r="F22" s="16"/>
      <c r="G22" s="16"/>
      <c r="H22" s="16"/>
      <c r="I22" s="16">
        <f t="shared" si="1"/>
        <v>0.1940763835</v>
      </c>
      <c r="J22" s="16"/>
      <c r="K22" s="16"/>
      <c r="L22" s="16"/>
      <c r="M22" s="16"/>
      <c r="N22" s="16"/>
      <c r="O22" s="16"/>
      <c r="P22" s="7"/>
    </row>
    <row r="23">
      <c r="B23" s="17"/>
      <c r="C23" s="16"/>
      <c r="D23" s="16"/>
      <c r="E23" s="16"/>
      <c r="F23" s="16"/>
      <c r="G23" s="16"/>
      <c r="H23" s="16"/>
      <c r="I23" s="16">
        <f t="shared" si="1"/>
        <v>0.1853055917</v>
      </c>
      <c r="J23" s="16"/>
      <c r="K23" s="16"/>
      <c r="L23" s="16"/>
      <c r="M23" s="16"/>
      <c r="N23" s="16"/>
      <c r="O23" s="16"/>
      <c r="P23" s="7"/>
    </row>
    <row r="24">
      <c r="B24" s="17"/>
      <c r="C24" s="16"/>
      <c r="D24" s="16"/>
      <c r="E24" s="16"/>
      <c r="F24" s="16"/>
      <c r="G24" s="16"/>
      <c r="H24" s="16"/>
      <c r="I24" s="16">
        <f t="shared" si="1"/>
        <v>0.1690217391</v>
      </c>
      <c r="J24" s="16"/>
      <c r="K24" s="16"/>
      <c r="L24" s="16"/>
      <c r="M24" s="16"/>
      <c r="N24" s="16"/>
      <c r="O24" s="16"/>
      <c r="P24" s="7"/>
    </row>
    <row r="25">
      <c r="B25" s="7"/>
      <c r="C25" s="7"/>
      <c r="D25" s="7"/>
      <c r="E25" s="7"/>
      <c r="F25" s="7"/>
      <c r="G25" s="7"/>
      <c r="H25" s="7"/>
      <c r="I25" s="16">
        <f t="shared" si="1"/>
        <v>0.1513274336</v>
      </c>
      <c r="J25" s="7"/>
      <c r="K25" s="7"/>
      <c r="L25" s="7"/>
      <c r="M25" s="7"/>
      <c r="N25" s="7"/>
      <c r="O25" s="7"/>
      <c r="P25" s="7"/>
    </row>
    <row r="26">
      <c r="B26" s="7"/>
      <c r="C26" s="7"/>
      <c r="D26" s="7"/>
      <c r="E26" s="7"/>
      <c r="F26" s="7"/>
      <c r="G26" s="7"/>
      <c r="H26" s="7"/>
      <c r="I26" s="16">
        <f t="shared" si="1"/>
        <v>0.1371323529</v>
      </c>
      <c r="J26" s="7"/>
      <c r="K26" s="7"/>
      <c r="L26" s="7"/>
      <c r="M26" s="7"/>
      <c r="N26" s="7"/>
      <c r="O26" s="7"/>
      <c r="P26" s="7"/>
    </row>
    <row r="27">
      <c r="B27" s="8"/>
      <c r="C27" s="7"/>
      <c r="D27" s="7"/>
      <c r="E27" s="7"/>
      <c r="F27" s="7"/>
      <c r="G27" s="7"/>
      <c r="H27" s="7"/>
      <c r="I27" s="16">
        <f t="shared" si="1"/>
        <v>0.1160186625</v>
      </c>
      <c r="J27" s="7"/>
      <c r="K27" s="7"/>
      <c r="L27" s="7"/>
      <c r="M27" s="7"/>
      <c r="N27" s="7"/>
      <c r="O27" s="7"/>
      <c r="P27" s="7"/>
    </row>
    <row r="28">
      <c r="B28" s="8"/>
      <c r="C28" s="7"/>
      <c r="D28" s="7"/>
      <c r="E28" s="7"/>
      <c r="F28" s="7"/>
      <c r="G28" s="7"/>
      <c r="H28" s="7"/>
      <c r="I28" s="16">
        <f t="shared" si="1"/>
        <v>0.09453219927</v>
      </c>
      <c r="J28" s="7"/>
      <c r="K28" s="7"/>
      <c r="L28" s="7"/>
      <c r="M28" s="7"/>
      <c r="N28" s="7"/>
      <c r="O28" s="7"/>
      <c r="P28" s="7"/>
    </row>
    <row r="29">
      <c r="B29" s="8"/>
      <c r="C29" s="7"/>
      <c r="D29" s="7"/>
      <c r="E29" s="7"/>
      <c r="F29" s="7"/>
      <c r="G29" s="7"/>
      <c r="H29" s="7"/>
      <c r="I29" s="16">
        <f t="shared" si="1"/>
        <v>0.234345351</v>
      </c>
      <c r="J29" s="7"/>
      <c r="K29" s="7"/>
      <c r="L29" s="7"/>
      <c r="M29" s="7"/>
      <c r="N29" s="7"/>
      <c r="O29" s="7"/>
      <c r="P29" s="7"/>
    </row>
    <row r="30">
      <c r="B30" s="8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</row>
    <row r="31">
      <c r="B31" s="8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8"/>
    </row>
    <row r="32">
      <c r="B32" s="8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</row>
    <row r="33">
      <c r="B33" s="8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</row>
    <row r="34">
      <c r="B34" s="8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</row>
    <row r="35">
      <c r="B35" s="8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</row>
    <row r="36">
      <c r="B36" s="8"/>
      <c r="C36" s="8"/>
      <c r="D36" s="8"/>
      <c r="E36" s="8"/>
      <c r="F36" s="8"/>
      <c r="G36" s="8"/>
      <c r="H36" s="8"/>
      <c r="I36" s="7"/>
      <c r="J36" s="7"/>
      <c r="K36" s="7"/>
      <c r="L36" s="7"/>
      <c r="M36" s="7"/>
      <c r="N36" s="7"/>
      <c r="O36" s="7"/>
    </row>
    <row r="37">
      <c r="B37" s="8"/>
      <c r="C37" s="20"/>
      <c r="D37" s="20"/>
      <c r="E37" s="8"/>
      <c r="F37" s="8"/>
      <c r="G37" s="8"/>
      <c r="H37" s="8"/>
      <c r="I37" s="7"/>
      <c r="J37" s="7"/>
      <c r="K37" s="7"/>
      <c r="L37" s="7"/>
      <c r="M37" s="7"/>
      <c r="N37" s="7"/>
      <c r="O37" s="7"/>
    </row>
    <row r="38">
      <c r="B38" s="8"/>
      <c r="C38" s="20"/>
      <c r="D38" s="20"/>
      <c r="E38" s="8"/>
      <c r="F38" s="8"/>
      <c r="G38" s="8"/>
      <c r="H38" s="8"/>
      <c r="I38" s="8"/>
      <c r="J38" s="7"/>
      <c r="K38" s="7"/>
      <c r="L38" s="7"/>
      <c r="M38" s="7"/>
      <c r="N38" s="7"/>
      <c r="O38" s="7"/>
    </row>
    <row r="39">
      <c r="B39" s="8"/>
      <c r="C39" s="8"/>
      <c r="D39" s="8"/>
      <c r="E39" s="8"/>
      <c r="F39" s="8"/>
      <c r="G39" s="8"/>
      <c r="H39" s="8"/>
      <c r="I39" s="8"/>
      <c r="J39" s="7"/>
      <c r="K39" s="7"/>
      <c r="L39" s="7"/>
      <c r="M39" s="7"/>
      <c r="N39" s="7"/>
      <c r="O39" s="7"/>
    </row>
    <row r="40">
      <c r="B40" s="8"/>
      <c r="C40" s="20"/>
      <c r="D40" s="20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5.63"/>
    <col customWidth="1" min="3" max="3" width="14.25"/>
  </cols>
  <sheetData>
    <row r="2">
      <c r="B2" s="23" t="s">
        <v>61</v>
      </c>
    </row>
    <row r="3">
      <c r="B3" s="24" t="s">
        <v>62</v>
      </c>
    </row>
    <row r="5">
      <c r="B5" s="23" t="s">
        <v>63</v>
      </c>
      <c r="C5" s="25" t="s">
        <v>64</v>
      </c>
      <c r="D5" s="23" t="s">
        <v>65</v>
      </c>
    </row>
  </sheetData>
  <hyperlinks>
    <hyperlink r:id="rId1" ref="B3"/>
  </hyperlinks>
  <drawing r:id="rId2"/>
</worksheet>
</file>